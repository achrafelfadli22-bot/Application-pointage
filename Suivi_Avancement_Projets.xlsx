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IITEBOOK\Desktop\Pointage\"/>
    </mc:Choice>
  </mc:AlternateContent>
  <xr:revisionPtr revIDLastSave="0" documentId="13_ncr:1_{C42A6B2D-3E8B-4BA7-B407-8948F5D1FF9B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📊 Tableau de Bord" sheetId="1" r:id="rId1"/>
    <sheet name="📁 Pointage360" sheetId="2" r:id="rId2"/>
    <sheet name="📁 EcoTrace" sheetId="3" r:id="rId3"/>
    <sheet name="📁 ElectraERP" sheetId="4" r:id="rId4"/>
    <sheet name="📅 Jal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4" l="1"/>
  <c r="G29" i="3"/>
  <c r="G29" i="2"/>
  <c r="I8" i="1"/>
  <c r="J8" i="1" s="1"/>
  <c r="H8" i="1"/>
  <c r="E8" i="1"/>
  <c r="J7" i="1"/>
  <c r="J6" i="1"/>
  <c r="J5" i="1"/>
</calcChain>
</file>

<file path=xl/sharedStrings.xml><?xml version="1.0" encoding="utf-8"?>
<sst xmlns="http://schemas.openxmlformats.org/spreadsheetml/2006/main" count="332" uniqueCount="153">
  <si>
    <t>SUIVI D'AVANCEMENT DES PROJETS — FUTURA EXPERTISE</t>
  </si>
  <si>
    <t>Mis à jour le : 01/06/2026</t>
  </si>
  <si>
    <t>Projet</t>
  </si>
  <si>
    <t>Type</t>
  </si>
  <si>
    <t>Responsable</t>
  </si>
  <si>
    <t>Statut</t>
  </si>
  <si>
    <t>% Avancement</t>
  </si>
  <si>
    <t>Date Début</t>
  </si>
  <si>
    <t>Date Fin
Prévisionnelle</t>
  </si>
  <si>
    <t>Budget
Estimé (€)</t>
  </si>
  <si>
    <t>Budget
Consommé (€)</t>
  </si>
  <si>
    <t>% Budget</t>
  </si>
  <si>
    <t>Priorité</t>
  </si>
  <si>
    <t>RAG</t>
  </si>
  <si>
    <t>Pointage360</t>
  </si>
  <si>
    <t>SaaS RH / BTP</t>
  </si>
  <si>
    <t>Futura Expertise</t>
  </si>
  <si>
    <t>En cours</t>
  </si>
  <si>
    <t>01/01/2025</t>
  </si>
  <si>
    <t>31/08/2026</t>
  </si>
  <si>
    <t>✅ Vert</t>
  </si>
  <si>
    <t>EcoTrace</t>
  </si>
  <si>
    <t>SaaS WEEE/DEEE</t>
  </si>
  <si>
    <t>01/03/2025</t>
  </si>
  <si>
    <t>31/12/2026</t>
  </si>
  <si>
    <t>🟡 Ambre</t>
  </si>
  <si>
    <t>ElectraERP</t>
  </si>
  <si>
    <t>ERP Bureau Étude Élec.</t>
  </si>
  <si>
    <t>En démarrage</t>
  </si>
  <si>
    <t>01/05/2025</t>
  </si>
  <si>
    <t>28/02/2027</t>
  </si>
  <si>
    <t>TOTAUX / MOYENNES</t>
  </si>
  <si>
    <t>LÉGENDE RAG :</t>
  </si>
  <si>
    <t>✅ Vert = En bonne voie</t>
  </si>
  <si>
    <t>🟡 Ambre = Attention requise</t>
  </si>
  <si>
    <t>🔴 Rouge = Problème critique</t>
  </si>
  <si>
    <t>FICHE PROJET — POINTAGE360</t>
  </si>
  <si>
    <t>Description</t>
  </si>
  <si>
    <t>Plateforme SaaS B2B multi-tenant pour gestion du pointage, timesheets, congés et présence par chantier (BTP). Stack: NestJS + Next.js + PostgreSQL + Redis.</t>
  </si>
  <si>
    <t>Haute</t>
  </si>
  <si>
    <t>Début</t>
  </si>
  <si>
    <t>Fin Prévisionnelle</t>
  </si>
  <si>
    <t>Budget Estimé</t>
  </si>
  <si>
    <t>Budget Consommé</t>
  </si>
  <si>
    <t>MODULES / TÂCHES</t>
  </si>
  <si>
    <t>Module / Tâche</t>
  </si>
  <si>
    <t>Auth &amp; RBAC (JWT, roles, multi-tenant)</t>
  </si>
  <si>
    <t>Terminé</t>
  </si>
  <si>
    <t>Gestion Employés &amp; Chantiers</t>
  </si>
  <si>
    <t>Pointage &amp; Présence</t>
  </si>
  <si>
    <t>Timesheets (workflows approbation)</t>
  </si>
  <si>
    <t>Congés &amp; Absences</t>
  </si>
  <si>
    <t>Emails transactionnels (Nodemailer)</t>
  </si>
  <si>
    <t>Jobs BullMQ (exports, notifs, rappels)</t>
  </si>
  <si>
    <t>Upload MinIO (justificatifs)</t>
  </si>
  <si>
    <t>Settings UI (CRUD jours fériés, types congés)</t>
  </si>
  <si>
    <t>Tests unitaires &amp; E2E (Jest + Playwright)</t>
  </si>
  <si>
    <t>À faire</t>
  </si>
  <si>
    <t>🔴 Rouge</t>
  </si>
  <si>
    <t>Permissions fines (au-delà des rôles)</t>
  </si>
  <si>
    <t>Observabilité production (OpenTelemetry/Sentry)</t>
  </si>
  <si>
    <t>SMTP réel (production)</t>
  </si>
  <si>
    <t>Déploiement production</t>
  </si>
  <si>
    <t>AVANCEMENT GLOBAL (modules)</t>
  </si>
  <si>
    <t>RISQUES &amp; POINTS D'ATTENTION</t>
  </si>
  <si>
    <t>Risque</t>
  </si>
  <si>
    <t>Impact</t>
  </si>
  <si>
    <t>Tests manquants</t>
  </si>
  <si>
    <t>Aucune couverture Jest/Playwright — risque qualité en production</t>
  </si>
  <si>
    <t>Infrastructure Docker non testée en prod</t>
  </si>
  <si>
    <t>Moyenne</t>
  </si>
  <si>
    <t>Docker non installé sur machine dev au moment du dev</t>
  </si>
  <si>
    <t>SMTP non configuré</t>
  </si>
  <si>
    <t>Basse</t>
  </si>
  <si>
    <t>Emails fonctionnels uniquement en test — bloquant pour la prod</t>
  </si>
  <si>
    <t>💬 Note : Version 0.2 livrée avec modules métier complets. Prochaine étape : tests et déploiement.</t>
  </si>
  <si>
    <t>FICHE PROJET — ECOTRACE</t>
  </si>
  <si>
    <t>Plateforme SaaS conformité WEEE/DEEE. Suivi actifs IT cycle de vie complet, workflow de dépollution 10 états, certificats PDF SHA-256, score conformité, rapports ESG/CSRD.</t>
  </si>
  <si>
    <t>Auth multi-tenant (7 rôles RBAC)</t>
  </si>
  <si>
    <t>Gestion actifs IT (CRUD + import CSV + QR)</t>
  </si>
  <si>
    <t>Workflow dépollution 10 états</t>
  </si>
  <si>
    <t>Moteur certificats PDF (SHA-256 + QR)</t>
  </si>
  <si>
    <t>Journal audit immuable (hash-chain)</t>
  </si>
  <si>
    <t>Score de conformité temps réel</t>
  </si>
  <si>
    <t>Rapports ESG &amp; CO₂ (CSRD)</t>
  </si>
  <si>
    <t>Gestion recycleurs</t>
  </si>
  <si>
    <t>Dashboard analytics</t>
  </si>
  <si>
    <t>Tests unitaires &amp; E2E</t>
  </si>
  <si>
    <t>Déploiement Docker production</t>
  </si>
  <si>
    <t>Documentation API Swagger</t>
  </si>
  <si>
    <t>Notifications temps réel (WebSockets)</t>
  </si>
  <si>
    <t>Intégration S3 production</t>
  </si>
  <si>
    <t>Rapports CSRD non finalisés</t>
  </si>
  <si>
    <t>Fonctionnalité différenciante — retard possible si réglementation évolue</t>
  </si>
  <si>
    <t>Zéro couverture tests</t>
  </si>
  <si>
    <t>Risque régressions sur le workflow critique de dépollution</t>
  </si>
  <si>
    <t>Scalabilité multi-tenant non testée</t>
  </si>
  <si>
    <t>Performance non validée au-delà du seed de démonstration</t>
  </si>
  <si>
    <t>💬 Note : Core métier stable. Accent sur reporting ESG et tests avant livraison v1.0.</t>
  </si>
  <si>
    <t>FICHE PROJET — ELECTRAERP</t>
  </si>
  <si>
    <t>ERP pour Bureau d'Études Électrique. API Laravel 12 (PHP) — gestion projets, devis, facturation, ressources pour ingénieurs et techniciens BEE.</t>
  </si>
  <si>
    <t>Architecture &amp; scaffold Laravel 12</t>
  </si>
  <si>
    <t>Auth &amp; gestion utilisateurs</t>
  </si>
  <si>
    <t>Gestion projets BEE</t>
  </si>
  <si>
    <t>Devis &amp; chiffrage</t>
  </si>
  <si>
    <t>Facturation</t>
  </si>
  <si>
    <t>Gestion ressources (équipe)</t>
  </si>
  <si>
    <t>Planning &amp; calendrier</t>
  </si>
  <si>
    <t>Rapports &amp; export PDF</t>
  </si>
  <si>
    <t>Frontend (ElectraERP Web)</t>
  </si>
  <si>
    <t>Tests &amp; CI/CD</t>
  </si>
  <si>
    <t>Projet en phase initiale</t>
  </si>
  <si>
    <t>Majorité des modules non démarrés — planning serré jusqu'en 2027</t>
  </si>
  <si>
    <t>Frontend non commencé</t>
  </si>
  <si>
    <t>Dossier electra-erp vide — aucun travail UI initié</t>
  </si>
  <si>
    <t>Dépendances Laravel vendor</t>
  </si>
  <si>
    <t>Vendor commité — risque de conflits sur mises à jour de sécurité</t>
  </si>
  <si>
    <t>💬 Note : Phase d'initialisation. Scaffold Laravel posé, auth en cours. Forte charge de développement à venir.</t>
  </si>
  <si>
    <t>JALONS CLÉS — TOUS PROJETS</t>
  </si>
  <si>
    <t>Jalon</t>
  </si>
  <si>
    <t>Date Cible</t>
  </si>
  <si>
    <t>Commentaire</t>
  </si>
  <si>
    <t>Livraison v0.2 (modules métier)</t>
  </si>
  <si>
    <t>31/03/2025</t>
  </si>
  <si>
    <t>✅ Livré</t>
  </si>
  <si>
    <t>Auth, timesheets, congés, emails, BullMQ</t>
  </si>
  <si>
    <t>Mise en place tests Jest + Playwright</t>
  </si>
  <si>
    <t>30/09/2025</t>
  </si>
  <si>
    <t>🔴 En retard</t>
  </si>
  <si>
    <t>Aucune couverture tests actuellement</t>
  </si>
  <si>
    <t>Déploiement production v1.0</t>
  </si>
  <si>
    <t>🟡 En cours</t>
  </si>
  <si>
    <t>Docker Compose, CI/CD à finaliser</t>
  </si>
  <si>
    <t>Core métier (workflow + certificats)</t>
  </si>
  <si>
    <t>30/06/2025</t>
  </si>
  <si>
    <t>Workflow 10 états, PDF SHA-256, audit chain</t>
  </si>
  <si>
    <t>Rapports ESG/CSRD finalisés</t>
  </si>
  <si>
    <t>30/09/2026</t>
  </si>
  <si>
    <t>60% avancement — CO₂ + rapports cycle de vie</t>
  </si>
  <si>
    <t>Livraison v1.0 avec tests</t>
  </si>
  <si>
    <t>🟡 Prévu</t>
  </si>
  <si>
    <t>Tests E2E, déploiement Docker prod</t>
  </si>
  <si>
    <t>Scaffold &amp; auth Laravel 12</t>
  </si>
  <si>
    <t>31/05/2025</t>
  </si>
  <si>
    <t>Architecture posée, auth en cours</t>
  </si>
  <si>
    <t>Modules devis &amp; facturation</t>
  </si>
  <si>
    <t>28/02/2026</t>
  </si>
  <si>
    <t>🔴 Non démarré</t>
  </si>
  <si>
    <t>Priorité haute pour la prochaine phase</t>
  </si>
  <si>
    <t>Frontend ElectraERP Web</t>
  </si>
  <si>
    <t>Dossier electra-erp vide</t>
  </si>
  <si>
    <t>Livraison v1.0 complète</t>
  </si>
  <si>
    <t>Dépend de l'avancement des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</si>
</sst>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0"/>
      <color rgb="FF276221"/>
      <name val="Arial"/>
      <charset val="1"/>
    </font>
    <font>
      <b/>
      <sz val="10"/>
      <color rgb="FF9C5700"/>
      <name val="Arial"/>
      <charset val="1"/>
    </font>
    <font>
      <b/>
      <sz val="9"/>
      <name val="Arial"/>
      <charset val="1"/>
    </font>
    <font>
      <b/>
      <sz val="9"/>
      <color rgb="FF276221"/>
      <name val="Arial"/>
      <charset val="1"/>
    </font>
    <font>
      <b/>
      <sz val="9"/>
      <color rgb="FF9C5700"/>
      <name val="Arial"/>
      <charset val="1"/>
    </font>
    <font>
      <b/>
      <sz val="9"/>
      <color rgb="FF9C0006"/>
      <name val="Arial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9C0006"/>
      <name val="Arial"/>
      <charset val="1"/>
    </font>
    <font>
      <sz val="10"/>
      <color rgb="FF276221"/>
      <name val="Arial"/>
      <charset val="1"/>
    </font>
    <font>
      <i/>
      <sz val="10"/>
      <color rgb="FF59595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FFEB9C"/>
      </patternFill>
    </fill>
    <fill>
      <patternFill patternType="solid">
        <fgColor rgb="FFC00000"/>
        <bgColor rgb="FF9C0006"/>
      </patternFill>
    </fill>
    <fill>
      <patternFill patternType="solid">
        <fgColor rgb="FFF2F2F2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5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left" vertical="center" wrapText="1"/>
    </xf>
    <xf numFmtId="9" fontId="14" fillId="0" borderId="2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0" borderId="0" xfId="0" applyFont="1"/>
    <xf numFmtId="0" fontId="3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164" fontId="3" fillId="7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9" fontId="3" fillId="7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8" fillId="4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showGridLines="0" zoomScaleNormal="100" workbookViewId="0">
      <selection sqref="A1:L2"/>
    </sheetView>
  </sheetViews>
  <sheetFormatPr defaultColWidth="8.6640625" defaultRowHeight="14.4" x14ac:dyDescent="0.3"/>
  <cols>
    <col min="1" max="1" width="28" customWidth="1"/>
    <col min="2" max="2" width="14" customWidth="1"/>
    <col min="3" max="3" width="18" customWidth="1"/>
    <col min="4" max="4" width="13" customWidth="1"/>
    <col min="5" max="5" width="12" customWidth="1"/>
    <col min="6" max="9" width="14" customWidth="1"/>
    <col min="10" max="10" width="12" customWidth="1"/>
    <col min="11" max="11" width="14" customWidth="1"/>
    <col min="12" max="12" width="13" customWidth="1"/>
  </cols>
  <sheetData>
    <row r="1" spans="1:12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30" customHeight="1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</row>
    <row r="5" spans="1:12" ht="21.75" customHeight="1" x14ac:dyDescent="0.3">
      <c r="A5" s="16" t="s">
        <v>14</v>
      </c>
      <c r="B5" s="17" t="s">
        <v>15</v>
      </c>
      <c r="C5" s="17" t="s">
        <v>16</v>
      </c>
      <c r="D5" s="18" t="s">
        <v>17</v>
      </c>
      <c r="E5" s="19">
        <v>0.75</v>
      </c>
      <c r="F5" s="18" t="s">
        <v>18</v>
      </c>
      <c r="G5" s="18" t="s">
        <v>19</v>
      </c>
      <c r="H5" s="18">
        <v>45000</v>
      </c>
      <c r="I5" s="18">
        <v>33750</v>
      </c>
      <c r="J5" s="20">
        <f>I5/H5</f>
        <v>0.75</v>
      </c>
      <c r="L5" s="21" t="s">
        <v>20</v>
      </c>
    </row>
    <row r="6" spans="1:12" ht="21.75" customHeight="1" x14ac:dyDescent="0.3">
      <c r="A6" s="22" t="s">
        <v>21</v>
      </c>
      <c r="B6" s="23" t="s">
        <v>22</v>
      </c>
      <c r="C6" s="23" t="s">
        <v>16</v>
      </c>
      <c r="D6" s="24" t="s">
        <v>17</v>
      </c>
      <c r="E6" s="25">
        <v>0.6</v>
      </c>
      <c r="F6" s="24" t="s">
        <v>23</v>
      </c>
      <c r="G6" s="24" t="s">
        <v>24</v>
      </c>
      <c r="H6" s="24">
        <v>60000</v>
      </c>
      <c r="I6" s="24">
        <v>36000</v>
      </c>
      <c r="J6" s="26">
        <f>I6/H6</f>
        <v>0.6</v>
      </c>
      <c r="L6" s="27" t="s">
        <v>25</v>
      </c>
    </row>
    <row r="7" spans="1:12" ht="21.75" customHeight="1" x14ac:dyDescent="0.3">
      <c r="A7" s="16" t="s">
        <v>26</v>
      </c>
      <c r="B7" s="17" t="s">
        <v>27</v>
      </c>
      <c r="C7" s="17" t="s">
        <v>16</v>
      </c>
      <c r="D7" s="18" t="s">
        <v>28</v>
      </c>
      <c r="E7" s="19">
        <v>0.2</v>
      </c>
      <c r="F7" s="18" t="s">
        <v>29</v>
      </c>
      <c r="G7" s="18" t="s">
        <v>30</v>
      </c>
      <c r="H7" s="18">
        <v>35000</v>
      </c>
      <c r="I7" s="18">
        <v>7000</v>
      </c>
      <c r="J7" s="20">
        <f>I7/H7</f>
        <v>0.2</v>
      </c>
      <c r="L7" s="27" t="s">
        <v>25</v>
      </c>
    </row>
    <row r="8" spans="1:12" ht="21.75" customHeight="1" x14ac:dyDescent="0.3">
      <c r="A8" s="12" t="s">
        <v>31</v>
      </c>
      <c r="B8" s="12"/>
      <c r="C8" s="12"/>
      <c r="D8" s="12"/>
      <c r="E8" s="28">
        <f>AVERAGE(E5:E7)</f>
        <v>0.51666666666666672</v>
      </c>
      <c r="F8" s="29"/>
      <c r="G8" s="29"/>
      <c r="H8" s="30">
        <f>SUM(H5:H7)</f>
        <v>140000</v>
      </c>
      <c r="I8" s="30">
        <f>SUM(I5:I7)</f>
        <v>76750</v>
      </c>
      <c r="J8" s="28">
        <f>I8/H8</f>
        <v>0.54821428571428577</v>
      </c>
      <c r="K8" s="29"/>
      <c r="L8" s="29"/>
    </row>
    <row r="10" spans="1:12" ht="18" customHeight="1" x14ac:dyDescent="0.3">
      <c r="A10" s="11" t="s">
        <v>32</v>
      </c>
      <c r="B10" s="11"/>
      <c r="C10" s="10" t="s">
        <v>33</v>
      </c>
      <c r="D10" s="10"/>
      <c r="E10" s="9" t="s">
        <v>34</v>
      </c>
      <c r="F10" s="9"/>
      <c r="G10" s="8" t="s">
        <v>35</v>
      </c>
      <c r="H10" s="8"/>
    </row>
  </sheetData>
  <mergeCells count="7">
    <mergeCell ref="A1:L2"/>
    <mergeCell ref="A3:L3"/>
    <mergeCell ref="A8:D8"/>
    <mergeCell ref="A10:B10"/>
    <mergeCell ref="C10:D10"/>
    <mergeCell ref="E10:F10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showGridLines="0" tabSelected="1" topLeftCell="A17" zoomScaleNormal="100" workbookViewId="0">
      <selection activeCell="A24" sqref="A24:C24"/>
    </sheetView>
  </sheetViews>
  <sheetFormatPr defaultColWidth="8.6640625" defaultRowHeight="14.4" x14ac:dyDescent="0.3"/>
  <cols>
    <col min="1" max="1" width="40" customWidth="1"/>
    <col min="2" max="3" width="6" customWidth="1"/>
    <col min="4" max="4" width="20" customWidth="1"/>
    <col min="5" max="6" width="6" customWidth="1"/>
    <col min="7" max="7" width="16" customWidth="1"/>
    <col min="8" max="8" width="6" customWidth="1"/>
    <col min="9" max="9" width="16" customWidth="1"/>
    <col min="10" max="10" width="6" customWidth="1"/>
  </cols>
  <sheetData>
    <row r="1" spans="1:10" ht="27.75" customHeight="1" x14ac:dyDescent="0.3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</row>
    <row r="2" spans="1:10" ht="12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43.2" customHeight="1" x14ac:dyDescent="0.3">
      <c r="A3" s="6" t="s">
        <v>37</v>
      </c>
      <c r="B3" s="6"/>
      <c r="C3" s="5" t="s">
        <v>38</v>
      </c>
      <c r="D3" s="5"/>
      <c r="E3" s="5"/>
      <c r="F3" s="5"/>
      <c r="G3" s="5"/>
      <c r="H3" s="5"/>
      <c r="I3" s="5"/>
      <c r="J3" s="5"/>
    </row>
    <row r="4" spans="1:10" ht="19.5" customHeight="1" x14ac:dyDescent="0.3">
      <c r="A4" s="6" t="s">
        <v>5</v>
      </c>
      <c r="B4" s="6"/>
      <c r="C4" s="5" t="s">
        <v>17</v>
      </c>
      <c r="D4" s="5"/>
      <c r="E4" s="5"/>
      <c r="F4" s="5"/>
      <c r="G4" s="5"/>
      <c r="H4" s="5"/>
      <c r="I4" s="5"/>
      <c r="J4" s="5"/>
    </row>
    <row r="5" spans="1:10" ht="19.5" customHeight="1" x14ac:dyDescent="0.3">
      <c r="A5" s="6" t="s">
        <v>12</v>
      </c>
      <c r="B5" s="6"/>
      <c r="C5" s="5" t="s">
        <v>39</v>
      </c>
      <c r="D5" s="5"/>
      <c r="E5" s="5"/>
      <c r="F5" s="5"/>
      <c r="G5" s="5"/>
      <c r="H5" s="5"/>
      <c r="I5" s="5"/>
      <c r="J5" s="5"/>
    </row>
    <row r="6" spans="1:10" ht="19.5" customHeight="1" x14ac:dyDescent="0.3">
      <c r="A6" s="6" t="s">
        <v>6</v>
      </c>
      <c r="B6" s="6"/>
      <c r="C6" s="4">
        <v>0.75</v>
      </c>
      <c r="D6" s="4"/>
      <c r="E6" s="4"/>
      <c r="F6" s="4"/>
      <c r="G6" s="4"/>
      <c r="H6" s="4"/>
      <c r="I6" s="4"/>
      <c r="J6" s="4"/>
    </row>
    <row r="7" spans="1:10" ht="19.5" customHeight="1" x14ac:dyDescent="0.3">
      <c r="A7" s="6" t="s">
        <v>40</v>
      </c>
      <c r="B7" s="6"/>
      <c r="C7" s="5" t="s">
        <v>18</v>
      </c>
      <c r="D7" s="5"/>
      <c r="E7" s="5"/>
      <c r="F7" s="5"/>
      <c r="G7" s="5"/>
      <c r="H7" s="5"/>
      <c r="I7" s="5"/>
      <c r="J7" s="5"/>
    </row>
    <row r="8" spans="1:10" ht="19.5" customHeight="1" x14ac:dyDescent="0.3">
      <c r="A8" s="6" t="s">
        <v>41</v>
      </c>
      <c r="B8" s="6"/>
      <c r="C8" s="5" t="s">
        <v>19</v>
      </c>
      <c r="D8" s="5"/>
      <c r="E8" s="5"/>
      <c r="F8" s="5"/>
      <c r="G8" s="5"/>
      <c r="H8" s="5"/>
      <c r="I8" s="5"/>
      <c r="J8" s="5"/>
    </row>
    <row r="9" spans="1:10" ht="19.5" customHeight="1" x14ac:dyDescent="0.3">
      <c r="A9" s="6" t="s">
        <v>42</v>
      </c>
      <c r="B9" s="6"/>
      <c r="C9" s="3">
        <v>45000</v>
      </c>
      <c r="D9" s="3"/>
      <c r="E9" s="3"/>
      <c r="F9" s="3"/>
      <c r="G9" s="3"/>
      <c r="H9" s="3"/>
      <c r="I9" s="3"/>
      <c r="J9" s="3"/>
    </row>
    <row r="10" spans="1:10" ht="19.5" customHeight="1" x14ac:dyDescent="0.3">
      <c r="A10" s="6" t="s">
        <v>43</v>
      </c>
      <c r="B10" s="6"/>
      <c r="C10" s="3">
        <v>33750</v>
      </c>
      <c r="D10" s="3"/>
      <c r="E10" s="3"/>
      <c r="F10" s="3"/>
      <c r="G10" s="3"/>
      <c r="H10" s="3"/>
      <c r="I10" s="3"/>
      <c r="J10" s="3"/>
    </row>
    <row r="11" spans="1:10" ht="19.5" customHeight="1" x14ac:dyDescent="0.3">
      <c r="A11" s="6" t="s">
        <v>13</v>
      </c>
      <c r="B11" s="6"/>
      <c r="C11" s="2" t="s">
        <v>20</v>
      </c>
      <c r="D11" s="2"/>
      <c r="E11" s="2"/>
      <c r="F11" s="2"/>
      <c r="G11" s="2"/>
      <c r="H11" s="2"/>
      <c r="I11" s="2"/>
      <c r="J11" s="2"/>
    </row>
    <row r="12" spans="1:10" ht="9.75" customHeight="1" x14ac:dyDescent="0.3"/>
    <row r="13" spans="1:10" ht="21.75" customHeight="1" x14ac:dyDescent="0.3">
      <c r="A13" s="1" t="s">
        <v>44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75" customHeight="1" x14ac:dyDescent="0.3">
      <c r="A14" s="38" t="s">
        <v>45</v>
      </c>
      <c r="B14" s="38"/>
      <c r="C14" s="38"/>
      <c r="D14" s="38" t="s">
        <v>5</v>
      </c>
      <c r="E14" s="38"/>
      <c r="F14" s="38"/>
      <c r="G14" s="38" t="s">
        <v>6</v>
      </c>
      <c r="H14" s="38"/>
      <c r="I14" s="38" t="s">
        <v>13</v>
      </c>
      <c r="J14" s="38"/>
    </row>
    <row r="15" spans="1:10" ht="19.5" customHeight="1" x14ac:dyDescent="0.3">
      <c r="A15" s="39" t="s">
        <v>46</v>
      </c>
      <c r="B15" s="39"/>
      <c r="C15" s="39"/>
      <c r="D15" s="40" t="s">
        <v>47</v>
      </c>
      <c r="E15" s="40"/>
      <c r="F15" s="40"/>
      <c r="G15" s="41">
        <v>1</v>
      </c>
      <c r="H15" s="41"/>
      <c r="I15" s="2" t="s">
        <v>20</v>
      </c>
      <c r="J15" s="2"/>
    </row>
    <row r="16" spans="1:10" ht="19.5" customHeight="1" x14ac:dyDescent="0.3">
      <c r="A16" s="42" t="s">
        <v>48</v>
      </c>
      <c r="B16" s="42"/>
      <c r="C16" s="42"/>
      <c r="D16" s="43" t="s">
        <v>47</v>
      </c>
      <c r="E16" s="43"/>
      <c r="F16" s="43"/>
      <c r="G16" s="44">
        <v>1</v>
      </c>
      <c r="H16" s="44"/>
      <c r="I16" s="2" t="s">
        <v>20</v>
      </c>
      <c r="J16" s="2"/>
    </row>
    <row r="17" spans="1:10" ht="19.5" customHeight="1" x14ac:dyDescent="0.3">
      <c r="A17" s="39" t="s">
        <v>49</v>
      </c>
      <c r="B17" s="39"/>
      <c r="C17" s="39"/>
      <c r="D17" s="40" t="s">
        <v>47</v>
      </c>
      <c r="E17" s="40"/>
      <c r="F17" s="40"/>
      <c r="G17" s="41">
        <v>1</v>
      </c>
      <c r="H17" s="41"/>
      <c r="I17" s="2" t="s">
        <v>20</v>
      </c>
      <c r="J17" s="2"/>
    </row>
    <row r="18" spans="1:10" ht="19.5" customHeight="1" x14ac:dyDescent="0.3">
      <c r="A18" s="42" t="s">
        <v>50</v>
      </c>
      <c r="B18" s="42"/>
      <c r="C18" s="42"/>
      <c r="D18" s="43" t="s">
        <v>47</v>
      </c>
      <c r="E18" s="43"/>
      <c r="F18" s="43"/>
      <c r="G18" s="44">
        <v>1</v>
      </c>
      <c r="H18" s="44"/>
      <c r="I18" s="2" t="s">
        <v>20</v>
      </c>
      <c r="J18" s="2"/>
    </row>
    <row r="19" spans="1:10" ht="19.5" customHeight="1" x14ac:dyDescent="0.3">
      <c r="A19" s="39" t="s">
        <v>51</v>
      </c>
      <c r="B19" s="39"/>
      <c r="C19" s="39"/>
      <c r="D19" s="40" t="s">
        <v>47</v>
      </c>
      <c r="E19" s="40"/>
      <c r="F19" s="40"/>
      <c r="G19" s="41">
        <v>1</v>
      </c>
      <c r="H19" s="41"/>
      <c r="I19" s="2" t="s">
        <v>20</v>
      </c>
      <c r="J19" s="2"/>
    </row>
    <row r="20" spans="1:10" ht="19.5" customHeight="1" x14ac:dyDescent="0.3">
      <c r="A20" s="42" t="s">
        <v>52</v>
      </c>
      <c r="B20" s="42"/>
      <c r="C20" s="42"/>
      <c r="D20" s="43" t="s">
        <v>47</v>
      </c>
      <c r="E20" s="43"/>
      <c r="F20" s="43"/>
      <c r="G20" s="44">
        <v>1</v>
      </c>
      <c r="H20" s="44"/>
      <c r="I20" s="2" t="s">
        <v>20</v>
      </c>
      <c r="J20" s="2"/>
    </row>
    <row r="21" spans="1:10" ht="19.5" customHeight="1" x14ac:dyDescent="0.3">
      <c r="A21" s="39" t="s">
        <v>53</v>
      </c>
      <c r="B21" s="39"/>
      <c r="C21" s="39"/>
      <c r="D21" s="40" t="s">
        <v>47</v>
      </c>
      <c r="E21" s="40"/>
      <c r="F21" s="40"/>
      <c r="G21" s="41">
        <v>1</v>
      </c>
      <c r="H21" s="41"/>
      <c r="I21" s="2" t="s">
        <v>20</v>
      </c>
      <c r="J21" s="2"/>
    </row>
    <row r="22" spans="1:10" ht="19.5" customHeight="1" x14ac:dyDescent="0.3">
      <c r="A22" s="42" t="s">
        <v>54</v>
      </c>
      <c r="B22" s="42"/>
      <c r="C22" s="42"/>
      <c r="D22" s="43" t="s">
        <v>47</v>
      </c>
      <c r="E22" s="43"/>
      <c r="F22" s="43"/>
      <c r="G22" s="44">
        <v>1</v>
      </c>
      <c r="H22" s="44"/>
      <c r="I22" s="2" t="s">
        <v>20</v>
      </c>
      <c r="J22" s="2"/>
    </row>
    <row r="23" spans="1:10" ht="19.5" customHeight="1" x14ac:dyDescent="0.3">
      <c r="A23" s="39" t="s">
        <v>55</v>
      </c>
      <c r="B23" s="39"/>
      <c r="C23" s="39"/>
      <c r="D23" s="40" t="s">
        <v>47</v>
      </c>
      <c r="E23" s="40"/>
      <c r="F23" s="40"/>
      <c r="G23" s="41">
        <v>1</v>
      </c>
      <c r="H23" s="41"/>
      <c r="I23" s="2" t="s">
        <v>20</v>
      </c>
      <c r="J23" s="2"/>
    </row>
    <row r="24" spans="1:10" ht="19.5" customHeight="1" x14ac:dyDescent="0.3">
      <c r="A24" s="42" t="s">
        <v>56</v>
      </c>
      <c r="B24" s="42"/>
      <c r="C24" s="42"/>
      <c r="D24" s="45" t="s">
        <v>57</v>
      </c>
      <c r="E24" s="45"/>
      <c r="F24" s="45"/>
      <c r="G24" s="44">
        <v>0</v>
      </c>
      <c r="H24" s="44"/>
      <c r="I24" s="46" t="s">
        <v>58</v>
      </c>
      <c r="J24" s="46"/>
    </row>
    <row r="25" spans="1:10" ht="19.5" customHeight="1" x14ac:dyDescent="0.3">
      <c r="A25" s="39" t="s">
        <v>59</v>
      </c>
      <c r="B25" s="39"/>
      <c r="C25" s="39"/>
      <c r="D25" s="47" t="s">
        <v>57</v>
      </c>
      <c r="E25" s="47"/>
      <c r="F25" s="47"/>
      <c r="G25" s="41">
        <v>0</v>
      </c>
      <c r="H25" s="41"/>
      <c r="I25" s="46" t="s">
        <v>58</v>
      </c>
      <c r="J25" s="46"/>
    </row>
    <row r="26" spans="1:10" ht="19.5" customHeight="1" x14ac:dyDescent="0.3">
      <c r="A26" s="42" t="s">
        <v>60</v>
      </c>
      <c r="B26" s="42"/>
      <c r="C26" s="42"/>
      <c r="D26" s="45" t="s">
        <v>17</v>
      </c>
      <c r="E26" s="45"/>
      <c r="F26" s="45"/>
      <c r="G26" s="44">
        <v>0.3</v>
      </c>
      <c r="H26" s="44"/>
      <c r="I26" s="48" t="s">
        <v>25</v>
      </c>
      <c r="J26" s="48"/>
    </row>
    <row r="27" spans="1:10" ht="19.5" customHeight="1" x14ac:dyDescent="0.3">
      <c r="A27" s="39" t="s">
        <v>61</v>
      </c>
      <c r="B27" s="39"/>
      <c r="C27" s="39"/>
      <c r="D27" s="47" t="s">
        <v>57</v>
      </c>
      <c r="E27" s="47"/>
      <c r="F27" s="47"/>
      <c r="G27" s="41">
        <v>0</v>
      </c>
      <c r="H27" s="41"/>
      <c r="I27" s="46" t="s">
        <v>58</v>
      </c>
      <c r="J27" s="46"/>
    </row>
    <row r="28" spans="1:10" ht="19.5" customHeight="1" x14ac:dyDescent="0.3">
      <c r="A28" s="42" t="s">
        <v>62</v>
      </c>
      <c r="B28" s="42"/>
      <c r="C28" s="42"/>
      <c r="D28" s="45" t="s">
        <v>17</v>
      </c>
      <c r="E28" s="45"/>
      <c r="F28" s="45"/>
      <c r="G28" s="44">
        <v>0.4</v>
      </c>
      <c r="H28" s="44"/>
      <c r="I28" s="48" t="s">
        <v>25</v>
      </c>
      <c r="J28" s="48"/>
    </row>
    <row r="29" spans="1:10" ht="21.75" customHeight="1" x14ac:dyDescent="0.3">
      <c r="A29" s="49" t="s">
        <v>63</v>
      </c>
      <c r="B29" s="49"/>
      <c r="C29" s="49"/>
      <c r="D29" s="49"/>
      <c r="E29" s="49"/>
      <c r="F29" s="49"/>
      <c r="G29" s="50">
        <f>AVERAGE(G15:G28)</f>
        <v>0.69285714285714295</v>
      </c>
      <c r="H29" s="50"/>
    </row>
    <row r="31" spans="1:10" ht="21.75" customHeight="1" x14ac:dyDescent="0.3">
      <c r="A31" s="51" t="s">
        <v>64</v>
      </c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19.5" customHeight="1" x14ac:dyDescent="0.3">
      <c r="A32" s="52" t="s">
        <v>65</v>
      </c>
      <c r="B32" s="52"/>
      <c r="C32" s="52"/>
      <c r="D32" s="52" t="s">
        <v>66</v>
      </c>
      <c r="E32" s="52"/>
      <c r="F32" s="52" t="s">
        <v>37</v>
      </c>
      <c r="G32" s="52"/>
      <c r="H32" s="52"/>
      <c r="I32" s="52"/>
      <c r="J32" s="52"/>
    </row>
    <row r="33" spans="1:10" ht="25.2" customHeight="1" x14ac:dyDescent="0.3">
      <c r="A33" s="39" t="s">
        <v>67</v>
      </c>
      <c r="B33" s="39"/>
      <c r="C33" s="39"/>
      <c r="D33" s="46" t="s">
        <v>39</v>
      </c>
      <c r="E33" s="46"/>
      <c r="F33" s="53" t="s">
        <v>68</v>
      </c>
      <c r="G33" s="53"/>
      <c r="H33" s="53"/>
      <c r="I33" s="53"/>
      <c r="J33" s="53"/>
    </row>
    <row r="34" spans="1:10" ht="22.8" customHeight="1" x14ac:dyDescent="0.3">
      <c r="A34" s="42" t="s">
        <v>69</v>
      </c>
      <c r="B34" s="42"/>
      <c r="C34" s="42"/>
      <c r="D34" s="48" t="s">
        <v>70</v>
      </c>
      <c r="E34" s="48"/>
      <c r="F34" s="54" t="s">
        <v>71</v>
      </c>
      <c r="G34" s="54"/>
      <c r="H34" s="54"/>
      <c r="I34" s="54"/>
      <c r="J34" s="54"/>
    </row>
    <row r="35" spans="1:10" ht="27" customHeight="1" x14ac:dyDescent="0.3">
      <c r="A35" s="39" t="s">
        <v>72</v>
      </c>
      <c r="B35" s="39"/>
      <c r="C35" s="39"/>
      <c r="D35" s="55" t="s">
        <v>73</v>
      </c>
      <c r="E35" s="55"/>
      <c r="F35" s="53" t="s">
        <v>74</v>
      </c>
      <c r="G35" s="53"/>
      <c r="H35" s="53"/>
      <c r="I35" s="53"/>
      <c r="J35" s="53"/>
    </row>
    <row r="37" spans="1:10" ht="30" customHeight="1" x14ac:dyDescent="0.3">
      <c r="A37" s="56" t="s">
        <v>75</v>
      </c>
      <c r="B37" s="56"/>
      <c r="C37" s="56"/>
      <c r="D37" s="56"/>
      <c r="E37" s="56"/>
      <c r="F37" s="56"/>
      <c r="G37" s="56"/>
      <c r="H37" s="56"/>
      <c r="I37" s="56"/>
      <c r="J37" s="56"/>
    </row>
  </sheetData>
  <mergeCells count="96">
    <mergeCell ref="A35:C35"/>
    <mergeCell ref="D35:E35"/>
    <mergeCell ref="F35:J35"/>
    <mergeCell ref="A37:J37"/>
    <mergeCell ref="A33:C33"/>
    <mergeCell ref="D33:E33"/>
    <mergeCell ref="F33:J33"/>
    <mergeCell ref="A34:C34"/>
    <mergeCell ref="D34:E34"/>
    <mergeCell ref="F34:J34"/>
    <mergeCell ref="A29:F29"/>
    <mergeCell ref="G29:H29"/>
    <mergeCell ref="A31:J31"/>
    <mergeCell ref="A32:C32"/>
    <mergeCell ref="D32:E32"/>
    <mergeCell ref="F32:J32"/>
    <mergeCell ref="A27:C27"/>
    <mergeCell ref="D27:F27"/>
    <mergeCell ref="G27:H27"/>
    <mergeCell ref="I27:J27"/>
    <mergeCell ref="A28:C28"/>
    <mergeCell ref="D28:F28"/>
    <mergeCell ref="G28:H28"/>
    <mergeCell ref="I28:J28"/>
    <mergeCell ref="A25:C25"/>
    <mergeCell ref="D25:F25"/>
    <mergeCell ref="G25:H25"/>
    <mergeCell ref="I25:J25"/>
    <mergeCell ref="A26:C26"/>
    <mergeCell ref="D26:F26"/>
    <mergeCell ref="G26:H26"/>
    <mergeCell ref="I26:J26"/>
    <mergeCell ref="A23:C23"/>
    <mergeCell ref="D23:F23"/>
    <mergeCell ref="G23:H23"/>
    <mergeCell ref="I23:J23"/>
    <mergeCell ref="A24:C24"/>
    <mergeCell ref="D24:F24"/>
    <mergeCell ref="G24:H24"/>
    <mergeCell ref="I24:J24"/>
    <mergeCell ref="A21:C21"/>
    <mergeCell ref="D21:F21"/>
    <mergeCell ref="G21:H21"/>
    <mergeCell ref="I21:J21"/>
    <mergeCell ref="A22:C22"/>
    <mergeCell ref="D22:F22"/>
    <mergeCell ref="G22:H22"/>
    <mergeCell ref="I22:J22"/>
    <mergeCell ref="A19:C19"/>
    <mergeCell ref="D19:F19"/>
    <mergeCell ref="G19:H19"/>
    <mergeCell ref="I19:J19"/>
    <mergeCell ref="A20:C20"/>
    <mergeCell ref="D20:F20"/>
    <mergeCell ref="G20:H20"/>
    <mergeCell ref="I20:J20"/>
    <mergeCell ref="A17:C17"/>
    <mergeCell ref="D17:F17"/>
    <mergeCell ref="G17:H17"/>
    <mergeCell ref="I17:J17"/>
    <mergeCell ref="A18:C18"/>
    <mergeCell ref="D18:F18"/>
    <mergeCell ref="G18:H18"/>
    <mergeCell ref="I18:J18"/>
    <mergeCell ref="A15:C15"/>
    <mergeCell ref="D15:F15"/>
    <mergeCell ref="G15:H15"/>
    <mergeCell ref="I15:J15"/>
    <mergeCell ref="A16:C16"/>
    <mergeCell ref="D16:F16"/>
    <mergeCell ref="G16:H16"/>
    <mergeCell ref="I16:J16"/>
    <mergeCell ref="A11:B11"/>
    <mergeCell ref="C11:J11"/>
    <mergeCell ref="A13:J13"/>
    <mergeCell ref="A14:C14"/>
    <mergeCell ref="D14:F14"/>
    <mergeCell ref="G14:H14"/>
    <mergeCell ref="I14:J14"/>
    <mergeCell ref="A8:B8"/>
    <mergeCell ref="C8:J8"/>
    <mergeCell ref="A9:B9"/>
    <mergeCell ref="C9:J9"/>
    <mergeCell ref="A10:B10"/>
    <mergeCell ref="C10:J10"/>
    <mergeCell ref="A5:B5"/>
    <mergeCell ref="C5:J5"/>
    <mergeCell ref="A6:B6"/>
    <mergeCell ref="C6:J6"/>
    <mergeCell ref="A7:B7"/>
    <mergeCell ref="C7:J7"/>
    <mergeCell ref="A1:J2"/>
    <mergeCell ref="A3:B3"/>
    <mergeCell ref="C3:J3"/>
    <mergeCell ref="A4:B4"/>
    <mergeCell ref="C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showGridLines="0" topLeftCell="A9" zoomScaleNormal="100" workbookViewId="0">
      <selection activeCell="F33" sqref="F33:J33"/>
    </sheetView>
  </sheetViews>
  <sheetFormatPr defaultColWidth="8.6640625" defaultRowHeight="14.4" x14ac:dyDescent="0.3"/>
  <cols>
    <col min="1" max="1" width="40" customWidth="1"/>
    <col min="2" max="3" width="6" customWidth="1"/>
    <col min="4" max="4" width="20" customWidth="1"/>
    <col min="5" max="6" width="6" customWidth="1"/>
    <col min="7" max="7" width="16" customWidth="1"/>
    <col min="8" max="8" width="6" customWidth="1"/>
    <col min="9" max="9" width="16" customWidth="1"/>
    <col min="10" max="10" width="6" customWidth="1"/>
  </cols>
  <sheetData>
    <row r="1" spans="1:10" ht="27.75" customHeight="1" x14ac:dyDescent="0.3">
      <c r="A1" s="7" t="s">
        <v>76</v>
      </c>
      <c r="B1" s="7"/>
      <c r="C1" s="7"/>
      <c r="D1" s="7"/>
      <c r="E1" s="7"/>
      <c r="F1" s="7"/>
      <c r="G1" s="7"/>
      <c r="H1" s="7"/>
      <c r="I1" s="7"/>
      <c r="J1" s="7"/>
    </row>
    <row r="2" spans="1:10" ht="12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33" customHeight="1" x14ac:dyDescent="0.3">
      <c r="A3" s="6" t="s">
        <v>37</v>
      </c>
      <c r="B3" s="6"/>
      <c r="C3" s="5" t="s">
        <v>77</v>
      </c>
      <c r="D3" s="5"/>
      <c r="E3" s="5"/>
      <c r="F3" s="5"/>
      <c r="G3" s="5"/>
      <c r="H3" s="5"/>
      <c r="I3" s="5"/>
      <c r="J3" s="5"/>
    </row>
    <row r="4" spans="1:10" ht="19.5" customHeight="1" x14ac:dyDescent="0.3">
      <c r="A4" s="6" t="s">
        <v>5</v>
      </c>
      <c r="B4" s="6"/>
      <c r="C4" s="5" t="s">
        <v>17</v>
      </c>
      <c r="D4" s="5"/>
      <c r="E4" s="5"/>
      <c r="F4" s="5"/>
      <c r="G4" s="5"/>
      <c r="H4" s="5"/>
      <c r="I4" s="5"/>
      <c r="J4" s="5"/>
    </row>
    <row r="5" spans="1:10" ht="19.5" customHeight="1" x14ac:dyDescent="0.3">
      <c r="A5" s="6" t="s">
        <v>12</v>
      </c>
      <c r="B5" s="6"/>
      <c r="C5" s="5" t="s">
        <v>39</v>
      </c>
      <c r="D5" s="5"/>
      <c r="E5" s="5"/>
      <c r="F5" s="5"/>
      <c r="G5" s="5"/>
      <c r="H5" s="5"/>
      <c r="I5" s="5"/>
      <c r="J5" s="5"/>
    </row>
    <row r="6" spans="1:10" ht="19.5" customHeight="1" x14ac:dyDescent="0.3">
      <c r="A6" s="6" t="s">
        <v>6</v>
      </c>
      <c r="B6" s="6"/>
      <c r="C6" s="4">
        <v>0.6</v>
      </c>
      <c r="D6" s="4"/>
      <c r="E6" s="4"/>
      <c r="F6" s="4"/>
      <c r="G6" s="4"/>
      <c r="H6" s="4"/>
      <c r="I6" s="4"/>
      <c r="J6" s="4"/>
    </row>
    <row r="7" spans="1:10" ht="19.5" customHeight="1" x14ac:dyDescent="0.3">
      <c r="A7" s="6" t="s">
        <v>40</v>
      </c>
      <c r="B7" s="6"/>
      <c r="C7" s="5" t="s">
        <v>23</v>
      </c>
      <c r="D7" s="5"/>
      <c r="E7" s="5"/>
      <c r="F7" s="5"/>
      <c r="G7" s="5"/>
      <c r="H7" s="5"/>
      <c r="I7" s="5"/>
      <c r="J7" s="5"/>
    </row>
    <row r="8" spans="1:10" ht="19.5" customHeight="1" x14ac:dyDescent="0.3">
      <c r="A8" s="6" t="s">
        <v>41</v>
      </c>
      <c r="B8" s="6"/>
      <c r="C8" s="5" t="s">
        <v>24</v>
      </c>
      <c r="D8" s="5"/>
      <c r="E8" s="5"/>
      <c r="F8" s="5"/>
      <c r="G8" s="5"/>
      <c r="H8" s="5"/>
      <c r="I8" s="5"/>
      <c r="J8" s="5"/>
    </row>
    <row r="9" spans="1:10" ht="19.5" customHeight="1" x14ac:dyDescent="0.3">
      <c r="A9" s="6" t="s">
        <v>42</v>
      </c>
      <c r="B9" s="6"/>
      <c r="C9" s="3">
        <v>60000</v>
      </c>
      <c r="D9" s="3"/>
      <c r="E9" s="3"/>
      <c r="F9" s="3"/>
      <c r="G9" s="3"/>
      <c r="H9" s="3"/>
      <c r="I9" s="3"/>
      <c r="J9" s="3"/>
    </row>
    <row r="10" spans="1:10" ht="19.5" customHeight="1" x14ac:dyDescent="0.3">
      <c r="A10" s="6" t="s">
        <v>43</v>
      </c>
      <c r="B10" s="6"/>
      <c r="C10" s="3">
        <v>36000</v>
      </c>
      <c r="D10" s="3"/>
      <c r="E10" s="3"/>
      <c r="F10" s="3"/>
      <c r="G10" s="3"/>
      <c r="H10" s="3"/>
      <c r="I10" s="3"/>
      <c r="J10" s="3"/>
    </row>
    <row r="11" spans="1:10" ht="19.5" customHeight="1" x14ac:dyDescent="0.3">
      <c r="A11" s="6" t="s">
        <v>13</v>
      </c>
      <c r="B11" s="6"/>
      <c r="C11" s="48" t="s">
        <v>25</v>
      </c>
      <c r="D11" s="48"/>
      <c r="E11" s="48"/>
      <c r="F11" s="48"/>
      <c r="G11" s="48"/>
      <c r="H11" s="48"/>
      <c r="I11" s="48"/>
      <c r="J11" s="48"/>
    </row>
    <row r="12" spans="1:10" ht="9.75" customHeight="1" x14ac:dyDescent="0.3"/>
    <row r="13" spans="1:10" ht="21.75" customHeight="1" x14ac:dyDescent="0.3">
      <c r="A13" s="1" t="s">
        <v>44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75" customHeight="1" x14ac:dyDescent="0.3">
      <c r="A14" s="38" t="s">
        <v>45</v>
      </c>
      <c r="B14" s="38"/>
      <c r="C14" s="38"/>
      <c r="D14" s="38" t="s">
        <v>5</v>
      </c>
      <c r="E14" s="38"/>
      <c r="F14" s="38"/>
      <c r="G14" s="38" t="s">
        <v>6</v>
      </c>
      <c r="H14" s="38"/>
      <c r="I14" s="38" t="s">
        <v>13</v>
      </c>
      <c r="J14" s="38"/>
    </row>
    <row r="15" spans="1:10" ht="19.5" customHeight="1" x14ac:dyDescent="0.3">
      <c r="A15" s="39" t="s">
        <v>78</v>
      </c>
      <c r="B15" s="39"/>
      <c r="C15" s="39"/>
      <c r="D15" s="40" t="s">
        <v>47</v>
      </c>
      <c r="E15" s="40"/>
      <c r="F15" s="40"/>
      <c r="G15" s="41">
        <v>1</v>
      </c>
      <c r="H15" s="41"/>
      <c r="I15" s="2" t="s">
        <v>20</v>
      </c>
      <c r="J15" s="2"/>
    </row>
    <row r="16" spans="1:10" ht="19.5" customHeight="1" x14ac:dyDescent="0.3">
      <c r="A16" s="42" t="s">
        <v>79</v>
      </c>
      <c r="B16" s="42"/>
      <c r="C16" s="42"/>
      <c r="D16" s="43" t="s">
        <v>47</v>
      </c>
      <c r="E16" s="43"/>
      <c r="F16" s="43"/>
      <c r="G16" s="44">
        <v>1</v>
      </c>
      <c r="H16" s="44"/>
      <c r="I16" s="2" t="s">
        <v>20</v>
      </c>
      <c r="J16" s="2"/>
    </row>
    <row r="17" spans="1:10" ht="19.5" customHeight="1" x14ac:dyDescent="0.3">
      <c r="A17" s="39" t="s">
        <v>80</v>
      </c>
      <c r="B17" s="39"/>
      <c r="C17" s="39"/>
      <c r="D17" s="40" t="s">
        <v>47</v>
      </c>
      <c r="E17" s="40"/>
      <c r="F17" s="40"/>
      <c r="G17" s="41">
        <v>1</v>
      </c>
      <c r="H17" s="41"/>
      <c r="I17" s="2" t="s">
        <v>20</v>
      </c>
      <c r="J17" s="2"/>
    </row>
    <row r="18" spans="1:10" ht="19.5" customHeight="1" x14ac:dyDescent="0.3">
      <c r="A18" s="42" t="s">
        <v>81</v>
      </c>
      <c r="B18" s="42"/>
      <c r="C18" s="42"/>
      <c r="D18" s="43" t="s">
        <v>47</v>
      </c>
      <c r="E18" s="43"/>
      <c r="F18" s="43"/>
      <c r="G18" s="44">
        <v>1</v>
      </c>
      <c r="H18" s="44"/>
      <c r="I18" s="2" t="s">
        <v>20</v>
      </c>
      <c r="J18" s="2"/>
    </row>
    <row r="19" spans="1:10" ht="19.5" customHeight="1" x14ac:dyDescent="0.3">
      <c r="A19" s="39" t="s">
        <v>82</v>
      </c>
      <c r="B19" s="39"/>
      <c r="C19" s="39"/>
      <c r="D19" s="40" t="s">
        <v>47</v>
      </c>
      <c r="E19" s="40"/>
      <c r="F19" s="40"/>
      <c r="G19" s="41">
        <v>1</v>
      </c>
      <c r="H19" s="41"/>
      <c r="I19" s="2" t="s">
        <v>20</v>
      </c>
      <c r="J19" s="2"/>
    </row>
    <row r="20" spans="1:10" ht="19.5" customHeight="1" x14ac:dyDescent="0.3">
      <c r="A20" s="42" t="s">
        <v>83</v>
      </c>
      <c r="B20" s="42"/>
      <c r="C20" s="42"/>
      <c r="D20" s="43" t="s">
        <v>47</v>
      </c>
      <c r="E20" s="43"/>
      <c r="F20" s="43"/>
      <c r="G20" s="44">
        <v>1</v>
      </c>
      <c r="H20" s="44"/>
      <c r="I20" s="2" t="s">
        <v>20</v>
      </c>
      <c r="J20" s="2"/>
    </row>
    <row r="21" spans="1:10" ht="19.5" customHeight="1" x14ac:dyDescent="0.3">
      <c r="A21" s="39" t="s">
        <v>84</v>
      </c>
      <c r="B21" s="39"/>
      <c r="C21" s="39"/>
      <c r="D21" s="47" t="s">
        <v>17</v>
      </c>
      <c r="E21" s="47"/>
      <c r="F21" s="47"/>
      <c r="G21" s="41">
        <v>0.6</v>
      </c>
      <c r="H21" s="41"/>
      <c r="I21" s="48" t="s">
        <v>25</v>
      </c>
      <c r="J21" s="48"/>
    </row>
    <row r="22" spans="1:10" ht="19.5" customHeight="1" x14ac:dyDescent="0.3">
      <c r="A22" s="42" t="s">
        <v>85</v>
      </c>
      <c r="B22" s="42"/>
      <c r="C22" s="42"/>
      <c r="D22" s="43" t="s">
        <v>47</v>
      </c>
      <c r="E22" s="43"/>
      <c r="F22" s="43"/>
      <c r="G22" s="44">
        <v>1</v>
      </c>
      <c r="H22" s="44"/>
      <c r="I22" s="2" t="s">
        <v>20</v>
      </c>
      <c r="J22" s="2"/>
    </row>
    <row r="23" spans="1:10" ht="19.5" customHeight="1" x14ac:dyDescent="0.3">
      <c r="A23" s="39" t="s">
        <v>86</v>
      </c>
      <c r="B23" s="39"/>
      <c r="C23" s="39"/>
      <c r="D23" s="47" t="s">
        <v>17</v>
      </c>
      <c r="E23" s="47"/>
      <c r="F23" s="47"/>
      <c r="G23" s="41">
        <v>0.5</v>
      </c>
      <c r="H23" s="41"/>
      <c r="I23" s="48" t="s">
        <v>25</v>
      </c>
      <c r="J23" s="48"/>
    </row>
    <row r="24" spans="1:10" ht="19.5" customHeight="1" x14ac:dyDescent="0.3">
      <c r="A24" s="42" t="s">
        <v>87</v>
      </c>
      <c r="B24" s="42"/>
      <c r="C24" s="42"/>
      <c r="D24" s="45" t="s">
        <v>57</v>
      </c>
      <c r="E24" s="45"/>
      <c r="F24" s="45"/>
      <c r="G24" s="44">
        <v>0</v>
      </c>
      <c r="H24" s="44"/>
      <c r="I24" s="46" t="s">
        <v>58</v>
      </c>
      <c r="J24" s="46"/>
    </row>
    <row r="25" spans="1:10" ht="19.5" customHeight="1" x14ac:dyDescent="0.3">
      <c r="A25" s="39" t="s">
        <v>88</v>
      </c>
      <c r="B25" s="39"/>
      <c r="C25" s="39"/>
      <c r="D25" s="47" t="s">
        <v>17</v>
      </c>
      <c r="E25" s="47"/>
      <c r="F25" s="47"/>
      <c r="G25" s="41">
        <v>0.3</v>
      </c>
      <c r="H25" s="41"/>
      <c r="I25" s="48" t="s">
        <v>25</v>
      </c>
      <c r="J25" s="48"/>
    </row>
    <row r="26" spans="1:10" ht="19.5" customHeight="1" x14ac:dyDescent="0.3">
      <c r="A26" s="42" t="s">
        <v>89</v>
      </c>
      <c r="B26" s="42"/>
      <c r="C26" s="42"/>
      <c r="D26" s="43" t="s">
        <v>47</v>
      </c>
      <c r="E26" s="43"/>
      <c r="F26" s="43"/>
      <c r="G26" s="44">
        <v>1</v>
      </c>
      <c r="H26" s="44"/>
      <c r="I26" s="2" t="s">
        <v>20</v>
      </c>
      <c r="J26" s="2"/>
    </row>
    <row r="27" spans="1:10" ht="19.5" customHeight="1" x14ac:dyDescent="0.3">
      <c r="A27" s="39" t="s">
        <v>90</v>
      </c>
      <c r="B27" s="39"/>
      <c r="C27" s="39"/>
      <c r="D27" s="47" t="s">
        <v>57</v>
      </c>
      <c r="E27" s="47"/>
      <c r="F27" s="47"/>
      <c r="G27" s="41">
        <v>0.1</v>
      </c>
      <c r="H27" s="41"/>
      <c r="I27" s="46" t="s">
        <v>58</v>
      </c>
      <c r="J27" s="46"/>
    </row>
    <row r="28" spans="1:10" ht="19.5" customHeight="1" x14ac:dyDescent="0.3">
      <c r="A28" s="42" t="s">
        <v>91</v>
      </c>
      <c r="B28" s="42"/>
      <c r="C28" s="42"/>
      <c r="D28" s="45" t="s">
        <v>57</v>
      </c>
      <c r="E28" s="45"/>
      <c r="F28" s="45"/>
      <c r="G28" s="44">
        <v>0</v>
      </c>
      <c r="H28" s="44"/>
      <c r="I28" s="46" t="s">
        <v>58</v>
      </c>
      <c r="J28" s="46"/>
    </row>
    <row r="29" spans="1:10" ht="21.75" customHeight="1" x14ac:dyDescent="0.3">
      <c r="A29" s="49" t="s">
        <v>63</v>
      </c>
      <c r="B29" s="49"/>
      <c r="C29" s="49"/>
      <c r="D29" s="49"/>
      <c r="E29" s="49"/>
      <c r="F29" s="49"/>
      <c r="G29" s="50">
        <f>AVERAGE(G15:G28)</f>
        <v>0.6785714285714286</v>
      </c>
      <c r="H29" s="50"/>
    </row>
    <row r="31" spans="1:10" ht="21.75" customHeight="1" x14ac:dyDescent="0.3">
      <c r="A31" s="51" t="s">
        <v>64</v>
      </c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19.5" customHeight="1" x14ac:dyDescent="0.3">
      <c r="A32" s="52" t="s">
        <v>65</v>
      </c>
      <c r="B32" s="52"/>
      <c r="C32" s="52"/>
      <c r="D32" s="52" t="s">
        <v>66</v>
      </c>
      <c r="E32" s="52"/>
      <c r="F32" s="52" t="s">
        <v>37</v>
      </c>
      <c r="G32" s="52"/>
      <c r="H32" s="52"/>
      <c r="I32" s="52"/>
      <c r="J32" s="52"/>
    </row>
    <row r="33" spans="1:10" ht="24" customHeight="1" x14ac:dyDescent="0.3">
      <c r="A33" s="39" t="s">
        <v>92</v>
      </c>
      <c r="B33" s="39"/>
      <c r="C33" s="39"/>
      <c r="D33" s="46" t="s">
        <v>39</v>
      </c>
      <c r="E33" s="46"/>
      <c r="F33" s="53" t="s">
        <v>93</v>
      </c>
      <c r="G33" s="53"/>
      <c r="H33" s="53"/>
      <c r="I33" s="53"/>
      <c r="J33" s="53"/>
    </row>
    <row r="34" spans="1:10" ht="24" customHeight="1" x14ac:dyDescent="0.3">
      <c r="A34" s="42" t="s">
        <v>94</v>
      </c>
      <c r="B34" s="42"/>
      <c r="C34" s="42"/>
      <c r="D34" s="46" t="s">
        <v>39</v>
      </c>
      <c r="E34" s="46"/>
      <c r="F34" s="54" t="s">
        <v>95</v>
      </c>
      <c r="G34" s="54"/>
      <c r="H34" s="54"/>
      <c r="I34" s="54"/>
      <c r="J34" s="54"/>
    </row>
    <row r="35" spans="1:10" ht="24" customHeight="1" x14ac:dyDescent="0.3">
      <c r="A35" s="39" t="s">
        <v>96</v>
      </c>
      <c r="B35" s="39"/>
      <c r="C35" s="39"/>
      <c r="D35" s="48" t="s">
        <v>70</v>
      </c>
      <c r="E35" s="48"/>
      <c r="F35" s="53" t="s">
        <v>97</v>
      </c>
      <c r="G35" s="53"/>
      <c r="H35" s="53"/>
      <c r="I35" s="53"/>
      <c r="J35" s="53"/>
    </row>
    <row r="37" spans="1:10" ht="30" customHeight="1" x14ac:dyDescent="0.3">
      <c r="A37" s="56" t="s">
        <v>98</v>
      </c>
      <c r="B37" s="56"/>
      <c r="C37" s="56"/>
      <c r="D37" s="56"/>
      <c r="E37" s="56"/>
      <c r="F37" s="56"/>
      <c r="G37" s="56"/>
      <c r="H37" s="56"/>
      <c r="I37" s="56"/>
      <c r="J37" s="56"/>
    </row>
  </sheetData>
  <mergeCells count="96">
    <mergeCell ref="A35:C35"/>
    <mergeCell ref="D35:E35"/>
    <mergeCell ref="F35:J35"/>
    <mergeCell ref="A37:J37"/>
    <mergeCell ref="A33:C33"/>
    <mergeCell ref="D33:E33"/>
    <mergeCell ref="F33:J33"/>
    <mergeCell ref="A34:C34"/>
    <mergeCell ref="D34:E34"/>
    <mergeCell ref="F34:J34"/>
    <mergeCell ref="A29:F29"/>
    <mergeCell ref="G29:H29"/>
    <mergeCell ref="A31:J31"/>
    <mergeCell ref="A32:C32"/>
    <mergeCell ref="D32:E32"/>
    <mergeCell ref="F32:J32"/>
    <mergeCell ref="A27:C27"/>
    <mergeCell ref="D27:F27"/>
    <mergeCell ref="G27:H27"/>
    <mergeCell ref="I27:J27"/>
    <mergeCell ref="A28:C28"/>
    <mergeCell ref="D28:F28"/>
    <mergeCell ref="G28:H28"/>
    <mergeCell ref="I28:J28"/>
    <mergeCell ref="A25:C25"/>
    <mergeCell ref="D25:F25"/>
    <mergeCell ref="G25:H25"/>
    <mergeCell ref="I25:J25"/>
    <mergeCell ref="A26:C26"/>
    <mergeCell ref="D26:F26"/>
    <mergeCell ref="G26:H26"/>
    <mergeCell ref="I26:J26"/>
    <mergeCell ref="A23:C23"/>
    <mergeCell ref="D23:F23"/>
    <mergeCell ref="G23:H23"/>
    <mergeCell ref="I23:J23"/>
    <mergeCell ref="A24:C24"/>
    <mergeCell ref="D24:F24"/>
    <mergeCell ref="G24:H24"/>
    <mergeCell ref="I24:J24"/>
    <mergeCell ref="A21:C21"/>
    <mergeCell ref="D21:F21"/>
    <mergeCell ref="G21:H21"/>
    <mergeCell ref="I21:J21"/>
    <mergeCell ref="A22:C22"/>
    <mergeCell ref="D22:F22"/>
    <mergeCell ref="G22:H22"/>
    <mergeCell ref="I22:J22"/>
    <mergeCell ref="A19:C19"/>
    <mergeCell ref="D19:F19"/>
    <mergeCell ref="G19:H19"/>
    <mergeCell ref="I19:J19"/>
    <mergeCell ref="A20:C20"/>
    <mergeCell ref="D20:F20"/>
    <mergeCell ref="G20:H20"/>
    <mergeCell ref="I20:J20"/>
    <mergeCell ref="A17:C17"/>
    <mergeCell ref="D17:F17"/>
    <mergeCell ref="G17:H17"/>
    <mergeCell ref="I17:J17"/>
    <mergeCell ref="A18:C18"/>
    <mergeCell ref="D18:F18"/>
    <mergeCell ref="G18:H18"/>
    <mergeCell ref="I18:J18"/>
    <mergeCell ref="A15:C15"/>
    <mergeCell ref="D15:F15"/>
    <mergeCell ref="G15:H15"/>
    <mergeCell ref="I15:J15"/>
    <mergeCell ref="A16:C16"/>
    <mergeCell ref="D16:F16"/>
    <mergeCell ref="G16:H16"/>
    <mergeCell ref="I16:J16"/>
    <mergeCell ref="A11:B11"/>
    <mergeCell ref="C11:J11"/>
    <mergeCell ref="A13:J13"/>
    <mergeCell ref="A14:C14"/>
    <mergeCell ref="D14:F14"/>
    <mergeCell ref="G14:H14"/>
    <mergeCell ref="I14:J14"/>
    <mergeCell ref="A8:B8"/>
    <mergeCell ref="C8:J8"/>
    <mergeCell ref="A9:B9"/>
    <mergeCell ref="C9:J9"/>
    <mergeCell ref="A10:B10"/>
    <mergeCell ref="C10:J10"/>
    <mergeCell ref="A5:B5"/>
    <mergeCell ref="C5:J5"/>
    <mergeCell ref="A6:B6"/>
    <mergeCell ref="C6:J6"/>
    <mergeCell ref="A7:B7"/>
    <mergeCell ref="C7:J7"/>
    <mergeCell ref="A1:J2"/>
    <mergeCell ref="A3:B3"/>
    <mergeCell ref="C3:J3"/>
    <mergeCell ref="A4:B4"/>
    <mergeCell ref="C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showGridLines="0" topLeftCell="A15" zoomScaleNormal="100" workbookViewId="0">
      <selection activeCell="A24" sqref="A24:C24"/>
    </sheetView>
  </sheetViews>
  <sheetFormatPr defaultColWidth="8.6640625" defaultRowHeight="14.4" x14ac:dyDescent="0.3"/>
  <cols>
    <col min="1" max="1" width="40" customWidth="1"/>
    <col min="2" max="3" width="6" customWidth="1"/>
    <col min="4" max="4" width="20" customWidth="1"/>
    <col min="5" max="6" width="6" customWidth="1"/>
    <col min="7" max="7" width="16" customWidth="1"/>
    <col min="8" max="8" width="6" customWidth="1"/>
    <col min="9" max="9" width="16" customWidth="1"/>
    <col min="10" max="10" width="6" customWidth="1"/>
  </cols>
  <sheetData>
    <row r="1" spans="1:10" ht="27.75" customHeight="1" x14ac:dyDescent="0.3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</row>
    <row r="2" spans="1:10" ht="12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42" customHeight="1" x14ac:dyDescent="0.3">
      <c r="A3" s="6" t="s">
        <v>37</v>
      </c>
      <c r="B3" s="6"/>
      <c r="C3" s="5" t="s">
        <v>100</v>
      </c>
      <c r="D3" s="5"/>
      <c r="E3" s="5"/>
      <c r="F3" s="5"/>
      <c r="G3" s="5"/>
      <c r="H3" s="5"/>
      <c r="I3" s="5"/>
      <c r="J3" s="5"/>
    </row>
    <row r="4" spans="1:10" ht="19.5" customHeight="1" x14ac:dyDescent="0.3">
      <c r="A4" s="6" t="s">
        <v>5</v>
      </c>
      <c r="B4" s="6"/>
      <c r="C4" s="5" t="s">
        <v>28</v>
      </c>
      <c r="D4" s="5"/>
      <c r="E4" s="5"/>
      <c r="F4" s="5"/>
      <c r="G4" s="5"/>
      <c r="H4" s="5"/>
      <c r="I4" s="5"/>
      <c r="J4" s="5"/>
    </row>
    <row r="5" spans="1:10" ht="19.5" customHeight="1" x14ac:dyDescent="0.3">
      <c r="A5" s="6" t="s">
        <v>12</v>
      </c>
      <c r="B5" s="6"/>
      <c r="C5" s="5" t="s">
        <v>70</v>
      </c>
      <c r="D5" s="5"/>
      <c r="E5" s="5"/>
      <c r="F5" s="5"/>
      <c r="G5" s="5"/>
      <c r="H5" s="5"/>
      <c r="I5" s="5"/>
      <c r="J5" s="5"/>
    </row>
    <row r="6" spans="1:10" ht="19.5" customHeight="1" x14ac:dyDescent="0.3">
      <c r="A6" s="6" t="s">
        <v>6</v>
      </c>
      <c r="B6" s="6"/>
      <c r="C6" s="4">
        <v>0.2</v>
      </c>
      <c r="D6" s="4"/>
      <c r="E6" s="4"/>
      <c r="F6" s="4"/>
      <c r="G6" s="4"/>
      <c r="H6" s="4"/>
      <c r="I6" s="4"/>
      <c r="J6" s="4"/>
    </row>
    <row r="7" spans="1:10" ht="19.5" customHeight="1" x14ac:dyDescent="0.3">
      <c r="A7" s="6" t="s">
        <v>40</v>
      </c>
      <c r="B7" s="6"/>
      <c r="C7" s="5" t="s">
        <v>29</v>
      </c>
      <c r="D7" s="5"/>
      <c r="E7" s="5"/>
      <c r="F7" s="5"/>
      <c r="G7" s="5"/>
      <c r="H7" s="5"/>
      <c r="I7" s="5"/>
      <c r="J7" s="5"/>
    </row>
    <row r="8" spans="1:10" ht="19.5" customHeight="1" x14ac:dyDescent="0.3">
      <c r="A8" s="6" t="s">
        <v>41</v>
      </c>
      <c r="B8" s="6"/>
      <c r="C8" s="5" t="s">
        <v>30</v>
      </c>
      <c r="D8" s="5"/>
      <c r="E8" s="5"/>
      <c r="F8" s="5"/>
      <c r="G8" s="5"/>
      <c r="H8" s="5"/>
      <c r="I8" s="5"/>
      <c r="J8" s="5"/>
    </row>
    <row r="9" spans="1:10" ht="19.5" customHeight="1" x14ac:dyDescent="0.3">
      <c r="A9" s="6" t="s">
        <v>42</v>
      </c>
      <c r="B9" s="6"/>
      <c r="C9" s="3">
        <v>35000</v>
      </c>
      <c r="D9" s="3"/>
      <c r="E9" s="3"/>
      <c r="F9" s="3"/>
      <c r="G9" s="3"/>
      <c r="H9" s="3"/>
      <c r="I9" s="3"/>
      <c r="J9" s="3"/>
    </row>
    <row r="10" spans="1:10" ht="19.5" customHeight="1" x14ac:dyDescent="0.3">
      <c r="A10" s="6" t="s">
        <v>43</v>
      </c>
      <c r="B10" s="6"/>
      <c r="C10" s="3">
        <v>7000</v>
      </c>
      <c r="D10" s="3"/>
      <c r="E10" s="3"/>
      <c r="F10" s="3"/>
      <c r="G10" s="3"/>
      <c r="H10" s="3"/>
      <c r="I10" s="3"/>
      <c r="J10" s="3"/>
    </row>
    <row r="11" spans="1:10" ht="19.5" customHeight="1" x14ac:dyDescent="0.3">
      <c r="A11" s="6" t="s">
        <v>13</v>
      </c>
      <c r="B11" s="6"/>
      <c r="C11" s="48" t="s">
        <v>25</v>
      </c>
      <c r="D11" s="48"/>
      <c r="E11" s="48"/>
      <c r="F11" s="48"/>
      <c r="G11" s="48"/>
      <c r="H11" s="48"/>
      <c r="I11" s="48"/>
      <c r="J11" s="48"/>
    </row>
    <row r="12" spans="1:10" ht="9.75" customHeight="1" x14ac:dyDescent="0.3"/>
    <row r="13" spans="1:10" ht="21.75" customHeight="1" x14ac:dyDescent="0.3">
      <c r="A13" s="1" t="s">
        <v>44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75" customHeight="1" x14ac:dyDescent="0.3">
      <c r="A14" s="38" t="s">
        <v>45</v>
      </c>
      <c r="B14" s="38"/>
      <c r="C14" s="38"/>
      <c r="D14" s="38" t="s">
        <v>5</v>
      </c>
      <c r="E14" s="38"/>
      <c r="F14" s="38"/>
      <c r="G14" s="38" t="s">
        <v>6</v>
      </c>
      <c r="H14" s="38"/>
      <c r="I14" s="38" t="s">
        <v>13</v>
      </c>
      <c r="J14" s="38"/>
    </row>
    <row r="15" spans="1:10" ht="19.5" customHeight="1" x14ac:dyDescent="0.3">
      <c r="A15" s="39" t="s">
        <v>101</v>
      </c>
      <c r="B15" s="39"/>
      <c r="C15" s="39"/>
      <c r="D15" s="40" t="s">
        <v>47</v>
      </c>
      <c r="E15" s="40"/>
      <c r="F15" s="40"/>
      <c r="G15" s="41">
        <v>1</v>
      </c>
      <c r="H15" s="41"/>
      <c r="I15" s="2" t="s">
        <v>20</v>
      </c>
      <c r="J15" s="2"/>
    </row>
    <row r="16" spans="1:10" ht="19.5" customHeight="1" x14ac:dyDescent="0.3">
      <c r="A16" s="42" t="s">
        <v>102</v>
      </c>
      <c r="B16" s="42"/>
      <c r="C16" s="42"/>
      <c r="D16" s="45" t="s">
        <v>17</v>
      </c>
      <c r="E16" s="45"/>
      <c r="F16" s="45"/>
      <c r="G16" s="44">
        <v>0.5</v>
      </c>
      <c r="H16" s="44"/>
      <c r="I16" s="48" t="s">
        <v>25</v>
      </c>
      <c r="J16" s="48"/>
    </row>
    <row r="17" spans="1:10" ht="19.5" customHeight="1" x14ac:dyDescent="0.3">
      <c r="A17" s="39" t="s">
        <v>103</v>
      </c>
      <c r="B17" s="39"/>
      <c r="C17" s="39"/>
      <c r="D17" s="47" t="s">
        <v>17</v>
      </c>
      <c r="E17" s="47"/>
      <c r="F17" s="47"/>
      <c r="G17" s="41">
        <v>0.3</v>
      </c>
      <c r="H17" s="41"/>
      <c r="I17" s="48" t="s">
        <v>25</v>
      </c>
      <c r="J17" s="48"/>
    </row>
    <row r="18" spans="1:10" ht="19.5" customHeight="1" x14ac:dyDescent="0.3">
      <c r="A18" s="42" t="s">
        <v>104</v>
      </c>
      <c r="B18" s="42"/>
      <c r="C18" s="42"/>
      <c r="D18" s="45" t="s">
        <v>57</v>
      </c>
      <c r="E18" s="45"/>
      <c r="F18" s="45"/>
      <c r="G18" s="44">
        <v>0</v>
      </c>
      <c r="H18" s="44"/>
      <c r="I18" s="46" t="s">
        <v>58</v>
      </c>
      <c r="J18" s="46"/>
    </row>
    <row r="19" spans="1:10" ht="19.5" customHeight="1" x14ac:dyDescent="0.3">
      <c r="A19" s="39" t="s">
        <v>105</v>
      </c>
      <c r="B19" s="39"/>
      <c r="C19" s="39"/>
      <c r="D19" s="47" t="s">
        <v>57</v>
      </c>
      <c r="E19" s="47"/>
      <c r="F19" s="47"/>
      <c r="G19" s="41">
        <v>0</v>
      </c>
      <c r="H19" s="41"/>
      <c r="I19" s="46" t="s">
        <v>58</v>
      </c>
      <c r="J19" s="46"/>
    </row>
    <row r="20" spans="1:10" ht="19.5" customHeight="1" x14ac:dyDescent="0.3">
      <c r="A20" s="42" t="s">
        <v>106</v>
      </c>
      <c r="B20" s="42"/>
      <c r="C20" s="42"/>
      <c r="D20" s="45" t="s">
        <v>57</v>
      </c>
      <c r="E20" s="45"/>
      <c r="F20" s="45"/>
      <c r="G20" s="44">
        <v>0</v>
      </c>
      <c r="H20" s="44"/>
      <c r="I20" s="46" t="s">
        <v>58</v>
      </c>
      <c r="J20" s="46"/>
    </row>
    <row r="21" spans="1:10" ht="19.5" customHeight="1" x14ac:dyDescent="0.3">
      <c r="A21" s="39" t="s">
        <v>107</v>
      </c>
      <c r="B21" s="39"/>
      <c r="C21" s="39"/>
      <c r="D21" s="47" t="s">
        <v>57</v>
      </c>
      <c r="E21" s="47"/>
      <c r="F21" s="47"/>
      <c r="G21" s="41">
        <v>0</v>
      </c>
      <c r="H21" s="41"/>
      <c r="I21" s="46" t="s">
        <v>58</v>
      </c>
      <c r="J21" s="46"/>
    </row>
    <row r="22" spans="1:10" ht="19.5" customHeight="1" x14ac:dyDescent="0.3">
      <c r="A22" s="42" t="s">
        <v>108</v>
      </c>
      <c r="B22" s="42"/>
      <c r="C22" s="42"/>
      <c r="D22" s="45" t="s">
        <v>57</v>
      </c>
      <c r="E22" s="45"/>
      <c r="F22" s="45"/>
      <c r="G22" s="44">
        <v>0</v>
      </c>
      <c r="H22" s="44"/>
      <c r="I22" s="46" t="s">
        <v>58</v>
      </c>
      <c r="J22" s="46"/>
    </row>
    <row r="23" spans="1:10" ht="19.5" customHeight="1" x14ac:dyDescent="0.3">
      <c r="A23" s="39" t="s">
        <v>109</v>
      </c>
      <c r="B23" s="39"/>
      <c r="C23" s="39"/>
      <c r="D23" s="47" t="s">
        <v>57</v>
      </c>
      <c r="E23" s="47"/>
      <c r="F23" s="47"/>
      <c r="G23" s="41">
        <v>0</v>
      </c>
      <c r="H23" s="41"/>
      <c r="I23" s="46" t="s">
        <v>58</v>
      </c>
      <c r="J23" s="46"/>
    </row>
    <row r="24" spans="1:10" ht="19.5" customHeight="1" x14ac:dyDescent="0.3">
      <c r="A24" s="42" t="s">
        <v>110</v>
      </c>
      <c r="B24" s="42"/>
      <c r="C24" s="42"/>
      <c r="D24" s="45" t="s">
        <v>57</v>
      </c>
      <c r="E24" s="45"/>
      <c r="F24" s="45"/>
      <c r="G24" s="44">
        <v>0</v>
      </c>
      <c r="H24" s="44"/>
      <c r="I24" s="46" t="s">
        <v>58</v>
      </c>
      <c r="J24" s="46"/>
    </row>
    <row r="25" spans="1:10" ht="19.5" customHeight="1" x14ac:dyDescent="0.3">
      <c r="A25" s="39" t="s">
        <v>62</v>
      </c>
      <c r="B25" s="39"/>
      <c r="C25" s="39"/>
      <c r="D25" s="47" t="s">
        <v>57</v>
      </c>
      <c r="E25" s="47"/>
      <c r="F25" s="47"/>
      <c r="G25" s="41">
        <v>0</v>
      </c>
      <c r="H25" s="41"/>
      <c r="I25" s="46" t="s">
        <v>58</v>
      </c>
      <c r="J25" s="46"/>
    </row>
    <row r="26" spans="1:10" ht="21.75" customHeight="1" x14ac:dyDescent="0.3">
      <c r="A26" s="49" t="s">
        <v>63</v>
      </c>
      <c r="B26" s="49"/>
      <c r="C26" s="49"/>
      <c r="D26" s="49"/>
      <c r="E26" s="49"/>
      <c r="F26" s="49"/>
      <c r="G26" s="50">
        <f>AVERAGE(G15:G25)</f>
        <v>0.16363636363636364</v>
      </c>
      <c r="H26" s="50"/>
    </row>
    <row r="28" spans="1:10" ht="21.75" customHeight="1" x14ac:dyDescent="0.3">
      <c r="A28" s="51" t="s">
        <v>64</v>
      </c>
      <c r="B28" s="51"/>
      <c r="C28" s="51"/>
      <c r="D28" s="51"/>
      <c r="E28" s="51"/>
      <c r="F28" s="51"/>
      <c r="G28" s="51"/>
      <c r="H28" s="51"/>
      <c r="I28" s="51"/>
      <c r="J28" s="51"/>
    </row>
    <row r="29" spans="1:10" ht="19.5" customHeight="1" x14ac:dyDescent="0.3">
      <c r="A29" s="52" t="s">
        <v>65</v>
      </c>
      <c r="B29" s="52"/>
      <c r="C29" s="52"/>
      <c r="D29" s="52" t="s">
        <v>66</v>
      </c>
      <c r="E29" s="52"/>
      <c r="F29" s="52" t="s">
        <v>37</v>
      </c>
      <c r="G29" s="52"/>
      <c r="H29" s="52"/>
      <c r="I29" s="52"/>
      <c r="J29" s="52"/>
    </row>
    <row r="30" spans="1:10" ht="30" customHeight="1" x14ac:dyDescent="0.3">
      <c r="A30" s="39" t="s">
        <v>111</v>
      </c>
      <c r="B30" s="39"/>
      <c r="C30" s="39"/>
      <c r="D30" s="46" t="s">
        <v>39</v>
      </c>
      <c r="E30" s="46"/>
      <c r="F30" s="53" t="s">
        <v>112</v>
      </c>
      <c r="G30" s="53"/>
      <c r="H30" s="53"/>
      <c r="I30" s="53"/>
      <c r="J30" s="53"/>
    </row>
    <row r="31" spans="1:10" ht="27" customHeight="1" x14ac:dyDescent="0.3">
      <c r="A31" s="42" t="s">
        <v>113</v>
      </c>
      <c r="B31" s="42"/>
      <c r="C31" s="42"/>
      <c r="D31" s="46" t="s">
        <v>39</v>
      </c>
      <c r="E31" s="46"/>
      <c r="F31" s="54" t="s">
        <v>114</v>
      </c>
      <c r="G31" s="54"/>
      <c r="H31" s="54"/>
      <c r="I31" s="54"/>
      <c r="J31" s="54"/>
    </row>
    <row r="32" spans="1:10" ht="24.6" customHeight="1" x14ac:dyDescent="0.3">
      <c r="A32" s="39" t="s">
        <v>115</v>
      </c>
      <c r="B32" s="39"/>
      <c r="C32" s="39"/>
      <c r="D32" s="55" t="s">
        <v>73</v>
      </c>
      <c r="E32" s="55"/>
      <c r="F32" s="53" t="s">
        <v>116</v>
      </c>
      <c r="G32" s="53"/>
      <c r="H32" s="53"/>
      <c r="I32" s="53"/>
      <c r="J32" s="53"/>
    </row>
    <row r="34" spans="1:10" ht="30" customHeight="1" x14ac:dyDescent="0.3">
      <c r="A34" s="56" t="s">
        <v>117</v>
      </c>
      <c r="B34" s="56"/>
      <c r="C34" s="56"/>
      <c r="D34" s="56"/>
      <c r="E34" s="56"/>
      <c r="F34" s="56"/>
      <c r="G34" s="56"/>
      <c r="H34" s="56"/>
      <c r="I34" s="56"/>
      <c r="J34" s="56"/>
    </row>
  </sheetData>
  <mergeCells count="84">
    <mergeCell ref="A34:J34"/>
    <mergeCell ref="A31:C31"/>
    <mergeCell ref="D31:E31"/>
    <mergeCell ref="F31:J31"/>
    <mergeCell ref="A32:C32"/>
    <mergeCell ref="D32:E32"/>
    <mergeCell ref="F32:J32"/>
    <mergeCell ref="A28:J28"/>
    <mergeCell ref="A29:C29"/>
    <mergeCell ref="D29:E29"/>
    <mergeCell ref="F29:J29"/>
    <mergeCell ref="A30:C30"/>
    <mergeCell ref="D30:E30"/>
    <mergeCell ref="F30:J30"/>
    <mergeCell ref="A25:C25"/>
    <mergeCell ref="D25:F25"/>
    <mergeCell ref="G25:H25"/>
    <mergeCell ref="I25:J25"/>
    <mergeCell ref="A26:F26"/>
    <mergeCell ref="G26:H26"/>
    <mergeCell ref="A23:C23"/>
    <mergeCell ref="D23:F23"/>
    <mergeCell ref="G23:H23"/>
    <mergeCell ref="I23:J23"/>
    <mergeCell ref="A24:C24"/>
    <mergeCell ref="D24:F24"/>
    <mergeCell ref="G24:H24"/>
    <mergeCell ref="I24:J24"/>
    <mergeCell ref="A21:C21"/>
    <mergeCell ref="D21:F21"/>
    <mergeCell ref="G21:H21"/>
    <mergeCell ref="I21:J21"/>
    <mergeCell ref="A22:C22"/>
    <mergeCell ref="D22:F22"/>
    <mergeCell ref="G22:H22"/>
    <mergeCell ref="I22:J22"/>
    <mergeCell ref="A19:C19"/>
    <mergeCell ref="D19:F19"/>
    <mergeCell ref="G19:H19"/>
    <mergeCell ref="I19:J19"/>
    <mergeCell ref="A20:C20"/>
    <mergeCell ref="D20:F20"/>
    <mergeCell ref="G20:H20"/>
    <mergeCell ref="I20:J20"/>
    <mergeCell ref="A17:C17"/>
    <mergeCell ref="D17:F17"/>
    <mergeCell ref="G17:H17"/>
    <mergeCell ref="I17:J17"/>
    <mergeCell ref="A18:C18"/>
    <mergeCell ref="D18:F18"/>
    <mergeCell ref="G18:H18"/>
    <mergeCell ref="I18:J18"/>
    <mergeCell ref="A15:C15"/>
    <mergeCell ref="D15:F15"/>
    <mergeCell ref="G15:H15"/>
    <mergeCell ref="I15:J15"/>
    <mergeCell ref="A16:C16"/>
    <mergeCell ref="D16:F16"/>
    <mergeCell ref="G16:H16"/>
    <mergeCell ref="I16:J16"/>
    <mergeCell ref="A11:B11"/>
    <mergeCell ref="C11:J11"/>
    <mergeCell ref="A13:J13"/>
    <mergeCell ref="A14:C14"/>
    <mergeCell ref="D14:F14"/>
    <mergeCell ref="G14:H14"/>
    <mergeCell ref="I14:J14"/>
    <mergeCell ref="A8:B8"/>
    <mergeCell ref="C8:J8"/>
    <mergeCell ref="A9:B9"/>
    <mergeCell ref="C9:J9"/>
    <mergeCell ref="A10:B10"/>
    <mergeCell ref="C10:J10"/>
    <mergeCell ref="A5:B5"/>
    <mergeCell ref="C5:J5"/>
    <mergeCell ref="A6:B6"/>
    <mergeCell ref="C6:J6"/>
    <mergeCell ref="A7:B7"/>
    <mergeCell ref="C7:J7"/>
    <mergeCell ref="A1:J2"/>
    <mergeCell ref="A3:B3"/>
    <mergeCell ref="C3:J3"/>
    <mergeCell ref="A4:B4"/>
    <mergeCell ref="C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zoomScaleNormal="100" workbookViewId="0">
      <selection activeCell="C17" sqref="C17"/>
    </sheetView>
  </sheetViews>
  <sheetFormatPr defaultColWidth="8.6640625" defaultRowHeight="14.4" x14ac:dyDescent="0.3"/>
  <cols>
    <col min="1" max="1" width="20" customWidth="1"/>
    <col min="2" max="2" width="38" customWidth="1"/>
    <col min="3" max="3" width="16" customWidth="1"/>
    <col min="4" max="4" width="18" customWidth="1"/>
    <col min="5" max="5" width="20" customWidth="1"/>
    <col min="6" max="6" width="40" customWidth="1"/>
  </cols>
  <sheetData>
    <row r="1" spans="1:7" ht="27.75" customHeight="1" x14ac:dyDescent="0.3">
      <c r="A1" s="7" t="s">
        <v>118</v>
      </c>
      <c r="B1" s="7"/>
      <c r="C1" s="7"/>
      <c r="D1" s="7"/>
      <c r="E1" s="7"/>
      <c r="F1" s="7"/>
      <c r="G1" s="7"/>
    </row>
    <row r="2" spans="1:7" x14ac:dyDescent="0.3">
      <c r="A2" s="7"/>
      <c r="B2" s="7"/>
      <c r="C2" s="7"/>
      <c r="D2" s="7"/>
      <c r="E2" s="7"/>
      <c r="F2" s="7"/>
      <c r="G2" s="7"/>
    </row>
    <row r="3" spans="1:7" ht="21.75" customHeight="1" x14ac:dyDescent="0.3">
      <c r="A3" s="15" t="s">
        <v>2</v>
      </c>
      <c r="B3" s="15" t="s">
        <v>119</v>
      </c>
      <c r="C3" s="15" t="s">
        <v>120</v>
      </c>
      <c r="D3" s="15" t="s">
        <v>5</v>
      </c>
      <c r="E3" s="15" t="s">
        <v>4</v>
      </c>
      <c r="F3" s="15" t="s">
        <v>121</v>
      </c>
    </row>
    <row r="4" spans="1:7" ht="26.4" customHeight="1" x14ac:dyDescent="0.3">
      <c r="A4" s="31" t="s">
        <v>14</v>
      </c>
      <c r="B4" s="32" t="s">
        <v>122</v>
      </c>
      <c r="C4" s="31" t="s">
        <v>123</v>
      </c>
      <c r="D4" s="33" t="s">
        <v>124</v>
      </c>
      <c r="E4" s="31" t="s">
        <v>16</v>
      </c>
      <c r="F4" s="32" t="s">
        <v>125</v>
      </c>
    </row>
    <row r="5" spans="1:7" ht="26.4" customHeight="1" x14ac:dyDescent="0.3">
      <c r="A5" s="34" t="s">
        <v>14</v>
      </c>
      <c r="B5" s="35" t="s">
        <v>126</v>
      </c>
      <c r="C5" s="34" t="s">
        <v>127</v>
      </c>
      <c r="D5" s="36" t="s">
        <v>128</v>
      </c>
      <c r="E5" s="34" t="s">
        <v>16</v>
      </c>
      <c r="F5" s="35" t="s">
        <v>129</v>
      </c>
    </row>
    <row r="6" spans="1:7" ht="26.4" customHeight="1" x14ac:dyDescent="0.3">
      <c r="A6" s="31" t="s">
        <v>14</v>
      </c>
      <c r="B6" s="32" t="s">
        <v>130</v>
      </c>
      <c r="C6" s="31" t="s">
        <v>19</v>
      </c>
      <c r="D6" s="37" t="s">
        <v>131</v>
      </c>
      <c r="E6" s="31" t="s">
        <v>16</v>
      </c>
      <c r="F6" s="32" t="s">
        <v>132</v>
      </c>
    </row>
    <row r="7" spans="1:7" ht="26.4" customHeight="1" x14ac:dyDescent="0.3">
      <c r="A7" s="34" t="s">
        <v>21</v>
      </c>
      <c r="B7" s="35" t="s">
        <v>133</v>
      </c>
      <c r="C7" s="34" t="s">
        <v>134</v>
      </c>
      <c r="D7" s="33" t="s">
        <v>124</v>
      </c>
      <c r="E7" s="34" t="s">
        <v>16</v>
      </c>
      <c r="F7" s="35" t="s">
        <v>135</v>
      </c>
    </row>
    <row r="8" spans="1:7" ht="26.4" customHeight="1" x14ac:dyDescent="0.3">
      <c r="A8" s="31" t="s">
        <v>21</v>
      </c>
      <c r="B8" s="32" t="s">
        <v>136</v>
      </c>
      <c r="C8" s="31" t="s">
        <v>137</v>
      </c>
      <c r="D8" s="37" t="s">
        <v>131</v>
      </c>
      <c r="E8" s="31" t="s">
        <v>16</v>
      </c>
      <c r="F8" s="32" t="s">
        <v>138</v>
      </c>
    </row>
    <row r="9" spans="1:7" ht="26.4" customHeight="1" x14ac:dyDescent="0.3">
      <c r="A9" s="34" t="s">
        <v>21</v>
      </c>
      <c r="B9" s="35" t="s">
        <v>139</v>
      </c>
      <c r="C9" s="34" t="s">
        <v>24</v>
      </c>
      <c r="D9" s="37" t="s">
        <v>140</v>
      </c>
      <c r="E9" s="34" t="s">
        <v>16</v>
      </c>
      <c r="F9" s="35" t="s">
        <v>141</v>
      </c>
    </row>
    <row r="10" spans="1:7" ht="26.4" customHeight="1" x14ac:dyDescent="0.3">
      <c r="A10" s="31" t="s">
        <v>26</v>
      </c>
      <c r="B10" s="32" t="s">
        <v>142</v>
      </c>
      <c r="C10" s="31" t="s">
        <v>143</v>
      </c>
      <c r="D10" s="33" t="s">
        <v>124</v>
      </c>
      <c r="E10" s="31" t="s">
        <v>16</v>
      </c>
      <c r="F10" s="32" t="s">
        <v>144</v>
      </c>
    </row>
    <row r="11" spans="1:7" ht="26.4" customHeight="1" x14ac:dyDescent="0.3">
      <c r="A11" s="34" t="s">
        <v>26</v>
      </c>
      <c r="B11" s="35" t="s">
        <v>145</v>
      </c>
      <c r="C11" s="34" t="s">
        <v>146</v>
      </c>
      <c r="D11" s="36" t="s">
        <v>147</v>
      </c>
      <c r="E11" s="34" t="s">
        <v>16</v>
      </c>
      <c r="F11" s="35" t="s">
        <v>148</v>
      </c>
    </row>
    <row r="12" spans="1:7" ht="26.4" customHeight="1" x14ac:dyDescent="0.3">
      <c r="A12" s="31" t="s">
        <v>26</v>
      </c>
      <c r="B12" s="32" t="s">
        <v>149</v>
      </c>
      <c r="C12" s="31" t="s">
        <v>19</v>
      </c>
      <c r="D12" s="36" t="s">
        <v>147</v>
      </c>
      <c r="E12" s="31" t="s">
        <v>16</v>
      </c>
      <c r="F12" s="32" t="s">
        <v>150</v>
      </c>
    </row>
    <row r="13" spans="1:7" ht="26.4" customHeight="1" x14ac:dyDescent="0.3">
      <c r="A13" s="34" t="s">
        <v>26</v>
      </c>
      <c r="B13" s="35" t="s">
        <v>151</v>
      </c>
      <c r="C13" s="34" t="s">
        <v>30</v>
      </c>
      <c r="D13" s="37" t="s">
        <v>140</v>
      </c>
      <c r="E13" s="34" t="s">
        <v>16</v>
      </c>
      <c r="F13" s="35" t="s">
        <v>152</v>
      </c>
    </row>
  </sheetData>
  <mergeCells count="1">
    <mergeCell ref="A1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Tableau de Bord</vt:lpstr>
      <vt:lpstr>📁 Pointage360</vt:lpstr>
      <vt:lpstr>📁 EcoTrace</vt:lpstr>
      <vt:lpstr>📁 ElectraERP</vt:lpstr>
      <vt:lpstr>📅 Jalons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Achraf EL FADLI</cp:lastModifiedBy>
  <cp:revision>0</cp:revision>
  <dcterms:created xsi:type="dcterms:W3CDTF">2026-06-01T11:07:02Z</dcterms:created>
  <dcterms:modified xsi:type="dcterms:W3CDTF">2026-06-02T08:41:50Z</dcterms:modified>
  <dc:language>en-US</dc:language>
</cp:coreProperties>
</file>